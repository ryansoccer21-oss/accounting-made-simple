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7b2466e45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ca2111daa074963"/>
    <x:sheet xmlns:r="http://schemas.openxmlformats.org/officeDocument/2006/relationships" name="Raw Data" sheetId="2" r:id="R68016e13621145cf"/>
    <x:sheet xmlns:r="http://schemas.openxmlformats.org/officeDocument/2006/relationships" name="Your Work" sheetId="3" r:id="R8547266a2a484e4a"/>
    <x:sheet xmlns:r="http://schemas.openxmlformats.org/officeDocument/2006/relationships" name="Error Check" sheetId="4" r:id="R77e9fc697a334e76"/>
    <x:sheet xmlns:r="http://schemas.openxmlformats.org/officeDocument/2006/relationships" name="Solution" sheetId="5" r:id="Rb3bd1dd26b77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$#,##0.00;[Red]-$#,##0.0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1D4D6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3ade8e51149e8" /><Relationship Type="http://schemas.openxmlformats.org/officeDocument/2006/relationships/theme" Target="/xl/theme/theme1.xml" Id="R59bc55e4672142c9" /><Relationship Type="http://schemas.openxmlformats.org/officeDocument/2006/relationships/sharedStrings" Target="/xl/sharedStrings.xml" Id="Rac1b72b8f3ce4bea" /><Relationship Type="http://schemas.openxmlformats.org/officeDocument/2006/relationships/worksheet" Target="/xl/worksheets/sheet1.xml" Id="R3ca2111daa074963" /><Relationship Type="http://schemas.openxmlformats.org/officeDocument/2006/relationships/worksheet" Target="/xl/worksheets/sheet2.xml" Id="R68016e13621145cf" /><Relationship Type="http://schemas.openxmlformats.org/officeDocument/2006/relationships/worksheet" Target="/xl/worksheets/sheet3.xml" Id="R8547266a2a484e4a" /><Relationship Type="http://schemas.openxmlformats.org/officeDocument/2006/relationships/worksheet" Target="/xl/worksheets/sheet4.xml" Id="R77e9fc697a334e76" /><Relationship Type="http://schemas.openxmlformats.org/officeDocument/2006/relationships/worksheet" Target="/xl/worksheets/sheet5.xml" Id="Rb3bd1dd26b774c54" /></Relationships>
</file>

<file path=xl/tables/table1.xml><?xml version="1.0" encoding="utf-8"?>
<x:table xmlns:x="http://schemas.openxmlformats.org/spreadsheetml/2006/main" id="1" name="BudgetActualRawData" displayName="BudgetActualRawData" ref="A1:D10" headerRowCount="1" totalsRowCount="0" totalsRowShown="0">
  <x:tableColumns count="4">
    <x:tableColumn id="1" name="Department"/>
    <x:tableColumn id="2" name="Account"/>
    <x:tableColumn id="3" name="Budget"/>
    <x:tableColumn id="4" name="Actu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8081c6b5c549a7" /></Relationships>
</file>

<file path=xl/worksheets/sheet1.xml><?xml version="1.0" encoding="utf-8"?>
<x:worksheet xmlns:x="http://schemas.openxmlformats.org/spreadsheetml/2006/main">
  <x:sheetFormatPr defaultRowHeight="15"/>
  <x:cols>
    <x:col min="2" max="2" width="52" hidden="0" customWidth="1"/>
  </x:cols>
  <x:sheetData>
    <x:row r="1" ht="28" customHeight="1">
      <x:c r="A1" s="8" t="str">
        <x:v>AMS Accounting Excel Practice — Budget vs. Actual</x:v>
      </x:c>
      <x:c r="B1" s="8"/>
      <x:c r="C1" s="8"/>
      <x:c r="D1" s="8"/>
      <x:c r="E1" s="8"/>
      <x:c r="F1" s="8"/>
    </x:row>
    <x:row r="3">
      <x:c r="A3" s="10" t="str">
        <x:v>Goal</x:v>
      </x:c>
      <x:c r="B3" s="12" t="str">
        <x:v>Analyze departmental spending and identify favorable and unfavorable expense variances.</x:v>
      </x:c>
      <x:c r="C3" s="12"/>
      <x:c r="D3" s="12"/>
      <x:c r="E3" s="12"/>
      <x:c r="F3" s="12"/>
    </x:row>
    <x:row r="4">
      <x:c r="A4" s="10" t="str">
        <x:v>Expense convention</x:v>
      </x:c>
      <x:c r="B4" s="12" t="str">
        <x:v>Variance = Actual - Budget. Positive variance = Unfavorable; negative variance = Favorable.</x:v>
      </x:c>
      <x:c r="C4" s="12"/>
      <x:c r="D4" s="12"/>
      <x:c r="E4" s="12"/>
      <x:c r="F4" s="12"/>
    </x:row>
    <x:row r="5">
      <x:c r="A5" s="10" t="str">
        <x:v>Step 1</x:v>
      </x:c>
      <x:c r="B5" s="12" t="str">
        <x:v>Calculate dollar variance and variance percentage for each account.</x:v>
      </x:c>
      <x:c r="C5" s="12"/>
      <x:c r="D5" s="12"/>
      <x:c r="E5" s="12"/>
      <x:c r="F5" s="12"/>
    </x:row>
    <x:row r="6">
      <x:c r="A6" s="10" t="str">
        <x:v>Step 2</x:v>
      </x:c>
      <x:c r="B6" s="12" t="str">
        <x:v>Use IF to label each line Favorable or Unfavorable.</x:v>
      </x:c>
      <x:c r="C6" s="12"/>
      <x:c r="D6" s="12"/>
      <x:c r="E6" s="12"/>
      <x:c r="F6" s="12"/>
    </x:row>
    <x:row r="7">
      <x:c r="A7" s="10" t="str">
        <x:v>Step 3</x:v>
      </x:c>
      <x:c r="B7" s="12" t="str">
        <x:v>Summarize by Department using SUMIFS or a PivotTable.</x:v>
      </x:c>
      <x:c r="C7" s="12"/>
      <x:c r="D7" s="12"/>
      <x:c r="E7" s="12"/>
      <x:c r="F7" s="12"/>
    </x:row>
    <x:row r="8">
      <x:c r="A8" s="10" t="str">
        <x:v>Step 4</x:v>
      </x:c>
      <x:c r="B8" s="12" t="str">
        <x:v>Use conditional formatting or another visual cue to highlight larger unfavorable variances.</x:v>
      </x:c>
      <x:c r="C8" s="12"/>
      <x:c r="D8" s="12"/>
      <x:c r="E8" s="12"/>
      <x:c r="F8" s="12"/>
    </x:row>
    <x:row r="9">
      <x:c r="A9" s="10" t="str">
        <x:v>Note</x:v>
      </x:c>
      <x:c r="B9" s="12" t="str">
        <x:v>All data is fictional and created for tutoring practice.</x:v>
      </x:c>
      <x:c r="C9" s="12"/>
      <x:c r="D9" s="12"/>
      <x:c r="E9" s="12"/>
      <x:c r="F9" s="1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28" hidden="0" customWidth="1"/>
    <x:col min="3" max="3" width="8.5" hidden="0" customWidth="1"/>
    <x:col min="4" max="4" width="8" hidden="0" customWidth="1"/>
  </x:cols>
  <x:sheetData>
    <x:row r="1">
      <x:c r="A1" s="22" t="str">
        <x:v>Department</x:v>
      </x:c>
      <x:c r="B1" s="22" t="str">
        <x:v>Account</x:v>
      </x:c>
      <x:c r="C1" s="22" t="str">
        <x:v>Budget</x:v>
      </x:c>
      <x:c r="D1" s="22" t="str">
        <x:v>Actual</x:v>
      </x:c>
    </x:row>
    <x:row r="2">
      <x:c r="A2" t="str">
        <x:v>Operations</x:v>
      </x:c>
      <x:c r="B2" t="str">
        <x:v>Supplies</x:v>
      </x:c>
      <x:c r="C2" s="24" t="n">
        <x:v>4200</x:v>
      </x:c>
      <x:c r="D2" s="24" t="n">
        <x:v>4680</x:v>
      </x:c>
    </x:row>
    <x:row r="3">
      <x:c r="A3" t="str">
        <x:v>Operations</x:v>
      </x:c>
      <x:c r="B3" t="str">
        <x:v>Repairs and Maintenance</x:v>
      </x:c>
      <x:c r="C3" s="24" t="n">
        <x:v>7500</x:v>
      </x:c>
      <x:c r="D3" s="24" t="n">
        <x:v>6940</x:v>
      </x:c>
    </x:row>
    <x:row r="4">
      <x:c r="A4" t="str">
        <x:v>Operations</x:v>
      </x:c>
      <x:c r="B4" t="str">
        <x:v>Freight</x:v>
      </x:c>
      <x:c r="C4" s="24" t="n">
        <x:v>5200</x:v>
      </x:c>
      <x:c r="D4" s="24" t="n">
        <x:v>5875</x:v>
      </x:c>
    </x:row>
    <x:row r="5">
      <x:c r="A5" t="str">
        <x:v>Sales</x:v>
      </x:c>
      <x:c r="B5" t="str">
        <x:v>Travel</x:v>
      </x:c>
      <x:c r="C5" s="24" t="n">
        <x:v>6800</x:v>
      </x:c>
      <x:c r="D5" s="24" t="n">
        <x:v>7315</x:v>
      </x:c>
    </x:row>
    <x:row r="6">
      <x:c r="A6" t="str">
        <x:v>Sales</x:v>
      </x:c>
      <x:c r="B6" t="str">
        <x:v>Meals and Entertainment</x:v>
      </x:c>
      <x:c r="C6" s="24" t="n">
        <x:v>2400</x:v>
      </x:c>
      <x:c r="D6" s="24" t="n">
        <x:v>1985</x:v>
      </x:c>
    </x:row>
    <x:row r="7">
      <x:c r="A7" t="str">
        <x:v>Sales</x:v>
      </x:c>
      <x:c r="B7" t="str">
        <x:v>Software</x:v>
      </x:c>
      <x:c r="C7" s="24" t="n">
        <x:v>3600</x:v>
      </x:c>
      <x:c r="D7" s="24" t="n">
        <x:v>3725</x:v>
      </x:c>
    </x:row>
    <x:row r="8">
      <x:c r="A8" t="str">
        <x:v>Corporate</x:v>
      </x:c>
      <x:c r="B8" t="str">
        <x:v>Professional Fees</x:v>
      </x:c>
      <x:c r="C8" s="24" t="n">
        <x:v>9000</x:v>
      </x:c>
      <x:c r="D8" s="24" t="n">
        <x:v>8420</x:v>
      </x:c>
    </x:row>
    <x:row r="9">
      <x:c r="A9" t="str">
        <x:v>Corporate</x:v>
      </x:c>
      <x:c r="B9" t="str">
        <x:v>Office Expense</x:v>
      </x:c>
      <x:c r="C9" s="24" t="n">
        <x:v>3100</x:v>
      </x:c>
      <x:c r="D9" s="24" t="n">
        <x:v>3445</x:v>
      </x:c>
    </x:row>
    <x:row r="10">
      <x:c r="A10" t="str">
        <x:v>Corporate</x:v>
      </x:c>
      <x:c r="B10" t="str">
        <x:v>Training</x:v>
      </x:c>
      <x:c r="C10" s="24" t="n">
        <x:v>2500</x:v>
      </x:c>
      <x:c r="D10" s="24" t="n">
        <x:v>2175</x:v>
      </x:c>
    </x:row>
  </x:sheetData>
  <x:pageMargins left="0.7" right="0.7" top="0.75" bottom="0.75" header="0.3" footer="0.3"/>
  <x:tableParts count="1">
    <x:tablePart xmlns:r="http://schemas.openxmlformats.org/officeDocument/2006/relationships" r:id="R238081c6b5c549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8" t="str">
        <x:v>Budget vs. Actual — Your Work</x:v>
      </x:c>
      <x:c r="B1" s="8"/>
      <x:c r="C1" s="8"/>
      <x:c r="D1" s="8"/>
      <x:c r="E1" s="8"/>
      <x:c r="F1" s="8"/>
      <x:c r="G1" s="8"/>
    </x:row>
    <x:row r="3">
      <x:c r="A3" s="22" t="str">
        <x:v>Department</x:v>
      </x:c>
      <x:c r="B3" s="22" t="str">
        <x:v>Account</x:v>
      </x:c>
      <x:c r="C3" s="22" t="str">
        <x:v>Budget</x:v>
      </x:c>
      <x:c r="D3" s="22" t="str">
        <x:v>Actual</x:v>
      </x:c>
      <x:c r="E3" s="22" t="str">
        <x:v>Variance $</x:v>
      </x:c>
      <x:c r="F3" s="22" t="str">
        <x:v>Variance %</x:v>
      </x:c>
      <x:c r="G3" s="22" t="str">
        <x:v>Status</x:v>
      </x:c>
    </x:row>
    <x:row r="4">
      <x:c r="A4" t="str">
        <x:f>'Raw Data'!A2</x:f>
        <x:v>Operations</x:v>
      </x:c>
      <x:c r="B4" t="str">
        <x:f>'Raw Data'!B2</x:f>
        <x:v>Supplies</x:v>
      </x:c>
      <x:c r="C4" s="26" t="n">
        <x:f>'Raw Data'!C2</x:f>
        <x:v>4200</x:v>
      </x:c>
      <x:c r="D4" s="26" t="n">
        <x:f>'Raw Data'!D2</x:f>
        <x:v>4680</x:v>
      </x:c>
      <x:c r="E4" s="26" t="n">
        <x:f>D4-C4</x:f>
        <x:v>480</x:v>
      </x:c>
      <x:c r="F4" s="28" t="n">
        <x:f>IF(C4=0,"",E4/C4)</x:f>
        <x:v>0.11428571428571428</x:v>
      </x:c>
      <x:c r="G4" t="str">
        <x:f>IF(E4&gt;0,"Unfavorable",IF(E4&lt;0,"Favorable","On Budget"))</x:f>
        <x:v>Unfavorable</x:v>
      </x:c>
    </x:row>
    <x:row r="5">
      <x:c r="A5" t="str">
        <x:f>'Raw Data'!A3</x:f>
        <x:v>Operations</x:v>
      </x:c>
      <x:c r="B5" t="str">
        <x:f>'Raw Data'!B3</x:f>
        <x:v>Repairs and Maintenance</x:v>
      </x:c>
      <x:c r="C5" s="26" t="n">
        <x:f>'Raw Data'!C3</x:f>
        <x:v>7500</x:v>
      </x:c>
      <x:c r="D5" s="26" t="n">
        <x:f>'Raw Data'!D3</x:f>
        <x:v>6940</x:v>
      </x:c>
      <x:c r="E5" s="26" t="n">
        <x:f>D5-C5</x:f>
        <x:v>-560</x:v>
      </x:c>
      <x:c r="F5" s="28" t="n">
        <x:f>IF(C5=0,"",E5/C5)</x:f>
        <x:v>-0.07466666666666667</x:v>
      </x:c>
      <x:c r="G5" t="str">
        <x:f>IF(E5&gt;0,"Unfavorable",IF(E5&lt;0,"Favorable","On Budget"))</x:f>
        <x:v>Favorable</x:v>
      </x:c>
    </x:row>
    <x:row r="6">
      <x:c r="A6" t="str">
        <x:f>'Raw Data'!A4</x:f>
        <x:v>Operations</x:v>
      </x:c>
      <x:c r="B6" t="str">
        <x:f>'Raw Data'!B4</x:f>
        <x:v>Freight</x:v>
      </x:c>
      <x:c r="C6" s="26" t="n">
        <x:f>'Raw Data'!C4</x:f>
        <x:v>5200</x:v>
      </x:c>
      <x:c r="D6" s="26" t="n">
        <x:f>'Raw Data'!D4</x:f>
        <x:v>5875</x:v>
      </x:c>
      <x:c r="E6" s="26" t="n">
        <x:f>D6-C6</x:f>
        <x:v>675</x:v>
      </x:c>
      <x:c r="F6" s="28" t="n">
        <x:f>IF(C6=0,"",E6/C6)</x:f>
        <x:v>0.12980769230769232</x:v>
      </x:c>
      <x:c r="G6" t="str">
        <x:f>IF(E6&gt;0,"Unfavorable",IF(E6&lt;0,"Favorable","On Budget"))</x:f>
        <x:v>Unfavorable</x:v>
      </x:c>
    </x:row>
    <x:row r="7">
      <x:c r="A7" t="str">
        <x:f>'Raw Data'!A5</x:f>
        <x:v>Sales</x:v>
      </x:c>
      <x:c r="B7" t="str">
        <x:f>'Raw Data'!B5</x:f>
        <x:v>Travel</x:v>
      </x:c>
      <x:c r="C7" s="26" t="n">
        <x:f>'Raw Data'!C5</x:f>
        <x:v>6800</x:v>
      </x:c>
      <x:c r="D7" s="26" t="n">
        <x:f>'Raw Data'!D5</x:f>
        <x:v>7315</x:v>
      </x:c>
      <x:c r="E7" s="26" t="n">
        <x:f>D7-C7</x:f>
        <x:v>515</x:v>
      </x:c>
      <x:c r="F7" s="28" t="n">
        <x:f>IF(C7=0,"",E7/C7)</x:f>
        <x:v>0.07573529411764705</x:v>
      </x:c>
      <x:c r="G7" t="str">
        <x:f>IF(E7&gt;0,"Unfavorable",IF(E7&lt;0,"Favorable","On Budget"))</x:f>
        <x:v>Unfavorable</x:v>
      </x:c>
    </x:row>
    <x:row r="8">
      <x:c r="A8" t="str">
        <x:f>'Raw Data'!A6</x:f>
        <x:v>Sales</x:v>
      </x:c>
      <x:c r="B8" t="str">
        <x:f>'Raw Data'!B6</x:f>
        <x:v>Meals and Entertainment</x:v>
      </x:c>
      <x:c r="C8" s="26" t="n">
        <x:f>'Raw Data'!C6</x:f>
        <x:v>2400</x:v>
      </x:c>
      <x:c r="D8" s="26" t="n">
        <x:f>'Raw Data'!D6</x:f>
        <x:v>1985</x:v>
      </x:c>
      <x:c r="E8" s="26" t="n">
        <x:f>D8-C8</x:f>
        <x:v>-415</x:v>
      </x:c>
      <x:c r="F8" s="28" t="n">
        <x:f>IF(C8=0,"",E8/C8)</x:f>
        <x:v>-0.17291666666666666</x:v>
      </x:c>
      <x:c r="G8" t="str">
        <x:f>IF(E8&gt;0,"Unfavorable",IF(E8&lt;0,"Favorable","On Budget"))</x:f>
        <x:v>Favorable</x:v>
      </x:c>
    </x:row>
    <x:row r="9">
      <x:c r="A9" t="str">
        <x:f>'Raw Data'!A7</x:f>
        <x:v>Sales</x:v>
      </x:c>
      <x:c r="B9" t="str">
        <x:f>'Raw Data'!B7</x:f>
        <x:v>Software</x:v>
      </x:c>
      <x:c r="C9" s="26" t="n">
        <x:f>'Raw Data'!C7</x:f>
        <x:v>3600</x:v>
      </x:c>
      <x:c r="D9" s="26" t="n">
        <x:f>'Raw Data'!D7</x:f>
        <x:v>3725</x:v>
      </x:c>
      <x:c r="E9" s="26" t="n">
        <x:f>D9-C9</x:f>
        <x:v>125</x:v>
      </x:c>
      <x:c r="F9" s="28" t="n">
        <x:f>IF(C9=0,"",E9/C9)</x:f>
        <x:v>0.034722222222222224</x:v>
      </x:c>
      <x:c r="G9" t="str">
        <x:f>IF(E9&gt;0,"Unfavorable",IF(E9&lt;0,"Favorable","On Budget"))</x:f>
        <x:v>Unfavorable</x:v>
      </x:c>
    </x:row>
    <x:row r="10">
      <x:c r="A10" t="str">
        <x:f>'Raw Data'!A8</x:f>
        <x:v>Corporate</x:v>
      </x:c>
      <x:c r="B10" t="str">
        <x:f>'Raw Data'!B8</x:f>
        <x:v>Professional Fees</x:v>
      </x:c>
      <x:c r="C10" s="26" t="n">
        <x:f>'Raw Data'!C8</x:f>
        <x:v>9000</x:v>
      </x:c>
      <x:c r="D10" s="26" t="n">
        <x:f>'Raw Data'!D8</x:f>
        <x:v>8420</x:v>
      </x:c>
      <x:c r="E10" s="26" t="n">
        <x:f>D10-C10</x:f>
        <x:v>-580</x:v>
      </x:c>
      <x:c r="F10" s="28" t="n">
        <x:f>IF(C10=0,"",E10/C10)</x:f>
        <x:v>-0.06444444444444444</x:v>
      </x:c>
      <x:c r="G10" t="str">
        <x:f>IF(E10&gt;0,"Unfavorable",IF(E10&lt;0,"Favorable","On Budget"))</x:f>
        <x:v>Favorable</x:v>
      </x:c>
    </x:row>
    <x:row r="11">
      <x:c r="A11" t="str">
        <x:f>'Raw Data'!A9</x:f>
        <x:v>Corporate</x:v>
      </x:c>
      <x:c r="B11" t="str">
        <x:f>'Raw Data'!B9</x:f>
        <x:v>Office Expense</x:v>
      </x:c>
      <x:c r="C11" s="26" t="n">
        <x:f>'Raw Data'!C9</x:f>
        <x:v>3100</x:v>
      </x:c>
      <x:c r="D11" s="26" t="n">
        <x:f>'Raw Data'!D9</x:f>
        <x:v>3445</x:v>
      </x:c>
      <x:c r="E11" s="26" t="n">
        <x:f>D11-C11</x:f>
        <x:v>345</x:v>
      </x:c>
      <x:c r="F11" s="28" t="n">
        <x:f>IF(C11=0,"",E11/C11)</x:f>
        <x:v>0.11129032258064517</x:v>
      </x:c>
      <x:c r="G11" t="str">
        <x:f>IF(E11&gt;0,"Unfavorable",IF(E11&lt;0,"Favorable","On Budget"))</x:f>
        <x:v>Unfavorable</x:v>
      </x:c>
    </x:row>
    <x:row r="12">
      <x:c r="A12" t="str">
        <x:f>'Raw Data'!A10</x:f>
        <x:v>Corporate</x:v>
      </x:c>
      <x:c r="B12" t="str">
        <x:f>'Raw Data'!B10</x:f>
        <x:v>Training</x:v>
      </x:c>
      <x:c r="C12" s="26" t="n">
        <x:f>'Raw Data'!C10</x:f>
        <x:v>2500</x:v>
      </x:c>
      <x:c r="D12" s="26" t="n">
        <x:f>'Raw Data'!D10</x:f>
        <x:v>2175</x:v>
      </x:c>
      <x:c r="E12" s="26" t="n">
        <x:f>D12-C12</x:f>
        <x:v>-325</x:v>
      </x:c>
      <x:c r="F12" s="28" t="n">
        <x:f>IF(C12=0,"",E12/C12)</x:f>
        <x:v>-0.13</x:v>
      </x:c>
      <x:c r="G12" t="str">
        <x:f>IF(E12&gt;0,"Unfavorable",IF(E12&lt;0,"Favorable","On Budget"))</x:f>
        <x:v>Favorable</x:v>
      </x:c>
    </x:row>
    <x:row r="14">
      <x:c r="A14" s="22" t="str">
        <x:v>Department</x:v>
      </x:c>
      <x:c r="B14" s="22" t="str">
        <x:v>Budget</x:v>
      </x:c>
      <x:c r="C14" s="22" t="str">
        <x:v>Actual</x:v>
      </x:c>
      <x:c r="D14" s="22" t="str">
        <x:v>Variance</x:v>
      </x:c>
    </x:row>
    <x:row r="15">
      <x:c r="A15" t="str">
        <x:v>Operations</x:v>
      </x:c>
      <x:c r="B15" s="26" t="n">
        <x:f>SUMIF($A$4:$A$12,A15,$C$4:$C$12)</x:f>
        <x:v>16900</x:v>
      </x:c>
      <x:c r="C15" s="26" t="n">
        <x:f>SUMIF($A$4:$A$12,A15,$D$4:$D$12)</x:f>
        <x:v>17495</x:v>
      </x:c>
      <x:c r="D15" s="26" t="n">
        <x:f>C15-B15</x:f>
        <x:v>595</x:v>
      </x:c>
    </x:row>
    <x:row r="16">
      <x:c r="A16" t="str">
        <x:v>Sales</x:v>
      </x:c>
      <x:c r="B16" s="26" t="n">
        <x:f>SUMIF($A$4:$A$12,A16,$C$4:$C$12)</x:f>
        <x:v>12800</x:v>
      </x:c>
      <x:c r="C16" s="26" t="n">
        <x:f>SUMIF($A$4:$A$12,A16,$D$4:$D$12)</x:f>
        <x:v>13025</x:v>
      </x:c>
      <x:c r="D16" s="26" t="n">
        <x:f>C16-B16</x:f>
        <x:v>225</x:v>
      </x:c>
    </x:row>
    <x:row r="17">
      <x:c r="A17" t="str">
        <x:v>Corporate</x:v>
      </x:c>
      <x:c r="B17" s="26" t="n">
        <x:f>SUMIF($A$4:$A$12,A17,$C$4:$C$12)</x:f>
        <x:v>14600</x:v>
      </x:c>
      <x:c r="C17" s="26" t="n">
        <x:f>SUMIF($A$4:$A$12,A17,$D$4:$D$12)</x:f>
        <x:v>14040</x:v>
      </x:c>
      <x:c r="D17" s="26" t="n">
        <x:f>C17-B17</x:f>
        <x:v>-560</x:v>
      </x:c>
    </x:row>
    <x:row r="18">
      <x:c r="B18" s="26"/>
      <x:c r="C18" s="26"/>
      <x:c r="D18" s="26"/>
    </x:row>
    <x:row r="19">
      <x:c r="A19" t="str">
        <x:v>Total</x:v>
      </x:c>
      <x:c r="B19" s="26" t="n">
        <x:f>SUM(B15:B17)</x:f>
        <x:v>44300</x:v>
      </x:c>
      <x:c r="C19" s="26" t="n">
        <x:f>SUM(C15:C17)</x:f>
        <x:v>44560</x:v>
      </x:c>
      <x:c r="D19" s="26" t="n">
        <x:f>C19-B19</x:f>
        <x:v>260</x:v>
      </x:c>
    </x:row>
  </x:sheetData>
  <x:mergeCells>
    <x:mergeCell ref="A1:G1"/>
  </x:mergeCells>
  <x:conditionalFormatting sqref="G4:G12">
    <x:cfRule type="expression" dxfId="0" priority="1">
      <x:formula>G4="Unfavorable"</x:formula>
    </x:cfRule>
    <x:cfRule type="expression" dxfId="1" priority="2">
      <x:formula>G4="Favorable"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</x:cols>
  <x:sheetData>
    <x:row r="1" ht="28" customHeight="1">
      <x:c r="A1" s="8" t="str">
        <x:v>Budget vs. Actual — Error Check</x:v>
      </x:c>
      <x:c r="B1" s="8"/>
      <x:c r="C1" s="8"/>
      <x:c r="D1" s="8"/>
    </x:row>
    <x:row r="3">
      <x:c r="A3" s="22" t="str">
        <x:v>Check</x:v>
      </x:c>
      <x:c r="B3" s="22" t="str">
        <x:v>Result</x:v>
      </x:c>
    </x:row>
    <x:row r="4">
      <x:c r="A4" t="str">
        <x:v>Total Budget</x:v>
      </x:c>
      <x:c r="B4" s="26" t="n">
        <x:f>'Your Work'!B19</x:f>
        <x:v>44300</x:v>
      </x:c>
    </x:row>
    <x:row r="5">
      <x:c r="A5" t="str">
        <x:v>Total Actual</x:v>
      </x:c>
      <x:c r="B5" s="26" t="n">
        <x:f>'Your Work'!C19</x:f>
        <x:v>44560</x:v>
      </x:c>
    </x:row>
    <x:row r="6">
      <x:c r="A6" t="str">
        <x:v>Overall variance</x:v>
      </x:c>
      <x:c r="B6" s="26" t="n">
        <x:f>'Your Work'!D19</x:f>
        <x:v>260</x:v>
      </x:c>
    </x:row>
    <x:row r="7">
      <x:c r="A7" t="str">
        <x:v>Expected overall variance</x:v>
      </x:c>
      <x:c r="B7" s="26" t="n">
        <x:v>260</x:v>
      </x:c>
    </x:row>
    <x:row r="8">
      <x:c r="A8" t="str">
        <x:v>Difference</x:v>
      </x:c>
      <x:c r="B8" s="26" t="n">
        <x:f>B6-B7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4" hidden="0" customWidth="1"/>
  </x:cols>
  <x:sheetData>
    <x:row r="1" ht="28" customHeight="1">
      <x:c r="A1" s="8" t="str">
        <x:v>Budget vs. Actual — Solution</x:v>
      </x:c>
      <x:c r="B1" s="8"/>
      <x:c r="C1" s="8"/>
      <x:c r="D1" s="8"/>
      <x:c r="E1" s="8"/>
      <x:c r="F1" s="8"/>
    </x:row>
    <x:row r="3">
      <x:c r="A3" s="22" t="str">
        <x:v>Department</x:v>
      </x:c>
      <x:c r="B3" s="22" t="str">
        <x:v>Budget</x:v>
      </x:c>
      <x:c r="C3" s="22" t="str">
        <x:v>Actual</x:v>
      </x:c>
      <x:c r="D3" s="22" t="str">
        <x:v>Variance</x:v>
      </x:c>
      <x:c r="E3" s="22" t="str">
        <x:v>Status</x:v>
      </x:c>
      <x:c r="F3" s="22" t="str">
        <x:v>Comment</x:v>
      </x:c>
    </x:row>
    <x:row r="4">
      <x:c r="A4" t="str">
        <x:v>Operations</x:v>
      </x:c>
      <x:c r="B4" s="26" t="n">
        <x:v>16900</x:v>
      </x:c>
      <x:c r="C4" s="26" t="n">
        <x:v>17495</x:v>
      </x:c>
      <x:c r="D4" s="26" t="n">
        <x:v>595</x:v>
      </x:c>
      <x:c r="E4" t="str">
        <x:v>Unfavorable</x:v>
      </x:c>
      <x:c r="F4" t="str">
        <x:v>Driven mainly by Freight and Supplies</x:v>
      </x:c>
    </x:row>
    <x:row r="5">
      <x:c r="A5" t="str">
        <x:v>Sales</x:v>
      </x:c>
      <x:c r="B5" s="26" t="n">
        <x:v>12800</x:v>
      </x:c>
      <x:c r="C5" s="26" t="n">
        <x:v>13025</x:v>
      </x:c>
      <x:c r="D5" s="26" t="n">
        <x:v>225</x:v>
      </x:c>
      <x:c r="E5" t="str">
        <x:v>Unfavorable</x:v>
      </x:c>
      <x:c r="F5" t="str">
        <x:v>Travel and Software exceeded budget</x:v>
      </x:c>
    </x:row>
    <x:row r="6">
      <x:c r="A6" t="str">
        <x:v>Corporate</x:v>
      </x:c>
      <x:c r="B6" s="26" t="n">
        <x:v>14600</x:v>
      </x:c>
      <x:c r="C6" s="26" t="n">
        <x:v>14040</x:v>
      </x:c>
      <x:c r="D6" s="26" t="n">
        <x:v>-560</x:v>
      </x:c>
      <x:c r="E6" t="str">
        <x:v>Favorable</x:v>
      </x:c>
      <x:c r="F6" t="str">
        <x:v>Professional Fees and Training below budget</x:v>
      </x:c>
    </x:row>
    <x:row r="7">
      <x:c r="A7" t="str">
        <x:v>Total</x:v>
      </x:c>
      <x:c r="B7" s="26" t="n">
        <x:v>44300</x:v>
      </x:c>
      <x:c r="C7" s="26" t="n">
        <x:v>44560</x:v>
      </x:c>
      <x:c r="D7" s="26" t="n">
        <x:v>260</x:v>
      </x:c>
      <x:c r="E7" t="str">
        <x:v>Unfavorable</x:v>
      </x:c>
      <x:c r="F7" t="str">
        <x:v>Overall expense spending exceeded budget</x:v>
      </x:c>
    </x:row>
  </x:sheetData>
  <x:mergeCells>
    <x:mergeCell ref="A1:F1"/>
  </x:mergeCells>
  <x:pageMargins left="0.7" right="0.7" top="0.75" bottom="0.75" header="0.3" footer="0.3"/>
</x:worksheet>
</file>