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3421d36c764a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a5fb349476914f7b"/>
    <x:sheet xmlns:r="http://schemas.openxmlformats.org/officeDocument/2006/relationships" name="Raw Data" sheetId="2" r:id="Rb8e8b796d6c046a4"/>
    <x:sheet xmlns:r="http://schemas.openxmlformats.org/officeDocument/2006/relationships" name="Your Work" sheetId="3" r:id="Rc70a5192bcac4318"/>
    <x:sheet xmlns:r="http://schemas.openxmlformats.org/officeDocument/2006/relationships" name="Error Check" sheetId="4" r:id="Rdda25dc5749647cc"/>
    <x:sheet xmlns:r="http://schemas.openxmlformats.org/officeDocument/2006/relationships" name="Solution" sheetId="5" r:id="R5cbf1e4924814a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$#,##0.00;[Red]-$#,##0.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F2742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2742"/>
      </x:patternFill>
    </x:fill>
    <x:fill>
      <x:patternFill patternType="solid">
        <x:fgColor rgb="FF1D4D6C"/>
      </x:patternFill>
    </x:fill>
    <x:fill>
      <x:patternFill patternType="solid">
        <x:fgColor rgb="FFDDECF2"/>
      </x:patternFill>
    </x:fill>
  </x:fills>
  <x:borders count="4">
    <x:border/>
    <x:border/>
    <x:border>
      <x:bottom/>
    </x:border>
    <x:border>
      <x:bottom/>
    </x:border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2" fillId="4" borderId="2" xfId="0" applyNumberFormat="1" applyFont="1" applyFill="1" applyBorder="1"/>
    <x:xf numFmtId="0" fontId="2" fillId="4" borderId="3" xfId="0" applyNumberFormat="1" applyFont="1" applyFill="1" applyBorder="1"/>
  </x:cellXfs>
  <x:cellStyles count="1">
    <x:cellStyle name="Normal" xfId="0"/>
  </x:cellStyles>
  <x:dxfs count="2">
    <x:dxf>
      <x:fill>
        <x:patternFill patternType="solid">
          <x:bgColor rgb="FFD9EAD3"/>
        </x:patternFill>
      </x:fill>
    </x:dxf>
    <x:dxf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d70b64ef58456a" /><Relationship Type="http://schemas.openxmlformats.org/officeDocument/2006/relationships/theme" Target="/xl/theme/theme1.xml" Id="R4a36efb145ec448d" /><Relationship Type="http://schemas.openxmlformats.org/officeDocument/2006/relationships/sharedStrings" Target="/xl/sharedStrings.xml" Id="R991c0ca8ee6c4ddd" /><Relationship Type="http://schemas.openxmlformats.org/officeDocument/2006/relationships/worksheet" Target="/xl/worksheets/sheet1.xml" Id="Ra5fb349476914f7b" /><Relationship Type="http://schemas.openxmlformats.org/officeDocument/2006/relationships/worksheet" Target="/xl/worksheets/sheet2.xml" Id="Rb8e8b796d6c046a4" /><Relationship Type="http://schemas.openxmlformats.org/officeDocument/2006/relationships/worksheet" Target="/xl/worksheets/sheet3.xml" Id="Rc70a5192bcac4318" /><Relationship Type="http://schemas.openxmlformats.org/officeDocument/2006/relationships/worksheet" Target="/xl/worksheets/sheet4.xml" Id="Rdda25dc5749647cc" /><Relationship Type="http://schemas.openxmlformats.org/officeDocument/2006/relationships/worksheet" Target="/xl/worksheets/sheet5.xml" Id="R5cbf1e4924814a4d" /></Relationships>
</file>

<file path=xl/tables/table1.xml><?xml version="1.0" encoding="utf-8"?>
<x:table xmlns:x="http://schemas.openxmlformats.org/spreadsheetml/2006/main" id="1" name="BankReconRawData" displayName="BankReconRawData" ref="A1:D10" headerRowCount="1" totalsRowCount="0" totalsRowShown="0">
  <x:tableColumns count="4">
    <x:tableColumn id="1" name="Type"/>
    <x:tableColumn id="2" name="Date"/>
    <x:tableColumn id="3" name="Description"/>
    <x:tableColumn id="4" name="Amou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bf0f04aeaed4d2e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8" t="str">
        <x:v>AMS Accounting Excel Practice — Bank Reconciliation</x:v>
      </x:c>
      <x:c r="B1" s="8"/>
      <x:c r="C1" s="8"/>
      <x:c r="D1" s="8"/>
      <x:c r="E1" s="8"/>
      <x:c r="F1" s="8"/>
    </x:row>
    <x:row r="3">
      <x:c r="A3" s="10" t="str">
        <x:v>Goal</x:v>
      </x:c>
      <x:c r="B3" s="12" t="str">
        <x:v>Reconcile the August 31 cash balance using the fictional bank and book information provided.</x:v>
      </x:c>
      <x:c r="C3" s="12"/>
      <x:c r="D3" s="12"/>
      <x:c r="E3" s="12"/>
      <x:c r="F3" s="12"/>
    </x:row>
    <x:row r="4">
      <x:c r="A4" s="10" t="str">
        <x:v>What to practice</x:v>
      </x:c>
      <x:c r="B4" s="12" t="str">
        <x:v>Filtering, SUMIF/SUMIFS, reconciliation logic, journal-entry identification, and control checks.</x:v>
      </x:c>
      <x:c r="C4" s="12"/>
      <x:c r="D4" s="12"/>
      <x:c r="E4" s="12"/>
      <x:c r="F4" s="12"/>
    </x:row>
    <x:row r="5">
      <x:c r="A5" s="10" t="str">
        <x:v>Step 1</x:v>
      </x:c>
      <x:c r="B5" s="12" t="str">
        <x:v>Review the Raw Data tab and separate bank-side timing items from book-side adjustments.</x:v>
      </x:c>
      <x:c r="C5" s="12"/>
      <x:c r="D5" s="12"/>
      <x:c r="E5" s="12"/>
      <x:c r="F5" s="12"/>
    </x:row>
    <x:row r="6">
      <x:c r="A6" s="10" t="str">
        <x:v>Step 2</x:v>
      </x:c>
      <x:c r="B6" s="12" t="str">
        <x:v>Complete the adjusted bank balance and adjusted book balance on the Your Work tab.</x:v>
      </x:c>
      <x:c r="C6" s="12"/>
      <x:c r="D6" s="12"/>
      <x:c r="E6" s="12"/>
      <x:c r="F6" s="12"/>
    </x:row>
    <x:row r="7">
      <x:c r="A7" s="10" t="str">
        <x:v>Step 3</x:v>
      </x:c>
      <x:c r="B7" s="12" t="str">
        <x:v>List the book-side items that would normally require journal entries.</x:v>
      </x:c>
      <x:c r="C7" s="12"/>
      <x:c r="D7" s="12"/>
      <x:c r="E7" s="12"/>
      <x:c r="F7" s="12"/>
    </x:row>
    <x:row r="8">
      <x:c r="A8" s="10" t="str">
        <x:v>Step 4</x:v>
      </x:c>
      <x:c r="B8" s="12" t="str">
        <x:v>Use the Error Check tab before opening the Solution tab.</x:v>
      </x:c>
      <x:c r="C8" s="12"/>
      <x:c r="D8" s="12"/>
      <x:c r="E8" s="12"/>
      <x:c r="F8" s="12"/>
    </x:row>
    <x:row r="9">
      <x:c r="A9" s="10" t="str">
        <x:v>Note</x:v>
      </x:c>
      <x:c r="B9" s="12" t="str">
        <x:v>All data is fictional and created for tutoring practice.</x:v>
      </x:c>
      <x:c r="C9" s="12"/>
      <x:c r="D9" s="12"/>
      <x:c r="E9" s="12"/>
      <x:c r="F9" s="12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.5" hidden="0" customWidth="1"/>
    <x:col min="2" max="2" width="9.130000114440918" hidden="0" customWidth="1"/>
    <x:col min="3" max="3" width="28" hidden="0" customWidth="1"/>
    <x:col min="4" max="4" width="8.880000114440918" hidden="0" customWidth="1"/>
  </x:cols>
  <x:sheetData>
    <x:row r="1">
      <x:c r="A1" s="22" t="str">
        <x:v>Type</x:v>
      </x:c>
      <x:c r="B1" s="22" t="str">
        <x:v>Date</x:v>
      </x:c>
      <x:c r="C1" s="22" t="str">
        <x:v>Description</x:v>
      </x:c>
      <x:c r="D1" s="22" t="str">
        <x:v>Amount</x:v>
      </x:c>
    </x:row>
    <x:row r="2">
      <x:c r="A2" t="str">
        <x:v>Book Balance</x:v>
      </x:c>
      <x:c r="B2" s="24" t="n">
        <x:v>46265</x:v>
      </x:c>
      <x:c r="C2" t="str">
        <x:v>General ledger cash balance</x:v>
      </x:c>
      <x:c r="D2" s="26" t="n">
        <x:v>24850</x:v>
      </x:c>
    </x:row>
    <x:row r="3">
      <x:c r="A3" t="str">
        <x:v>Bank Balance</x:v>
      </x:c>
      <x:c r="B3" s="24" t="n">
        <x:v>46265</x:v>
      </x:c>
      <x:c r="C3" t="str">
        <x:v>Bank statement ending balance</x:v>
      </x:c>
      <x:c r="D3" s="26" t="n">
        <x:v>26340</x:v>
      </x:c>
    </x:row>
    <x:row r="4">
      <x:c r="A4" t="str">
        <x:v>Bank Item</x:v>
      </x:c>
      <x:c r="B4" s="24" t="n">
        <x:v>46265</x:v>
      </x:c>
      <x:c r="C4" t="str">
        <x:v>Deposit in transit</x:v>
      </x:c>
      <x:c r="D4" s="26" t="n">
        <x:v>2150</x:v>
      </x:c>
    </x:row>
    <x:row r="5">
      <x:c r="A5" t="str">
        <x:v>Bank Item</x:v>
      </x:c>
      <x:c r="B5" s="24" t="n">
        <x:v>46265</x:v>
      </x:c>
      <x:c r="C5" t="str">
        <x:v>Outstanding check #1048</x:v>
      </x:c>
      <x:c r="D5" s="26" t="n">
        <x:v>-1325</x:v>
      </x:c>
    </x:row>
    <x:row r="6">
      <x:c r="A6" t="str">
        <x:v>Bank Item</x:v>
      </x:c>
      <x:c r="B6" s="24" t="n">
        <x:v>46265</x:v>
      </x:c>
      <x:c r="C6" t="str">
        <x:v>Outstanding check #1051</x:v>
      </x:c>
      <x:c r="D6" s="26" t="n">
        <x:v>-640</x:v>
      </x:c>
    </x:row>
    <x:row r="7">
      <x:c r="A7" t="str">
        <x:v>Book Item</x:v>
      </x:c>
      <x:c r="B7" s="24" t="n">
        <x:v>46265</x:v>
      </x:c>
      <x:c r="C7" t="str">
        <x:v>Bank service fee</x:v>
      </x:c>
      <x:c r="D7" s="26" t="n">
        <x:v>-45</x:v>
      </x:c>
    </x:row>
    <x:row r="8">
      <x:c r="A8" t="str">
        <x:v>Book Item</x:v>
      </x:c>
      <x:c r="B8" s="24" t="n">
        <x:v>46265</x:v>
      </x:c>
      <x:c r="C8" t="str">
        <x:v>Interest earned</x:v>
      </x:c>
      <x:c r="D8" s="26" t="n">
        <x:v>30</x:v>
      </x:c>
    </x:row>
    <x:row r="9">
      <x:c r="A9" t="str">
        <x:v>Book Item</x:v>
      </x:c>
      <x:c r="B9" s="24" t="n">
        <x:v>46265</x:v>
      </x:c>
      <x:c r="C9" t="str">
        <x:v>Customer NSF check</x:v>
      </x:c>
      <x:c r="D9" s="26" t="n">
        <x:v>-420</x:v>
      </x:c>
    </x:row>
    <x:row r="10">
      <x:c r="A10" t="str">
        <x:v>Book Item</x:v>
      </x:c>
      <x:c r="B10" s="24" t="n">
        <x:v>46265</x:v>
      </x:c>
      <x:c r="C10" t="str">
        <x:v>ACH customer payment</x:v>
      </x:c>
      <x:c r="D10" s="26" t="n">
        <x:v>2110</x:v>
      </x:c>
    </x:row>
  </x:sheetData>
  <x:pageMargins left="0.7" right="0.7" top="0.75" bottom="0.75" header="0.3" footer="0.3"/>
  <x:tableParts count="1">
    <x:tablePart xmlns:r="http://schemas.openxmlformats.org/officeDocument/2006/relationships" r:id="R8bf0f04aeaed4d2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0" hidden="0" customWidth="1"/>
    <x:col min="3" max="3" width="20" hidden="0" customWidth="1"/>
    <x:col min="4" max="4" width="25" hidden="0" customWidth="1"/>
    <x:col min="5" max="5" width="20" hidden="0" customWidth="1"/>
    <x:col min="6" max="6" width="20" hidden="0" customWidth="1"/>
  </x:cols>
  <x:sheetData>
    <x:row r="1" ht="28" customHeight="1">
      <x:c r="A1" s="8" t="str">
        <x:v>Bank Reconciliation — Your Work</x:v>
      </x:c>
      <x:c r="B1" s="8"/>
      <x:c r="C1" s="8"/>
      <x:c r="D1" s="8"/>
      <x:c r="E1" s="8"/>
      <x:c r="F1" s="8"/>
    </x:row>
    <x:row r="3">
      <x:c r="A3" s="22" t="str">
        <x:v>Bank Side</x:v>
      </x:c>
      <x:c r="B3" s="22" t="str">
        <x:v>Amount</x:v>
      </x:c>
      <x:c r="D3" s="22" t="str">
        <x:v>Book Side</x:v>
      </x:c>
      <x:c r="E3" s="22" t="str">
        <x:v>Amount</x:v>
      </x:c>
    </x:row>
    <x:row r="4">
      <x:c r="A4" t="str">
        <x:v>Bank statement balance</x:v>
      </x:c>
      <x:c r="B4" s="26" t="n">
        <x:f>'Raw Data'!D3</x:f>
        <x:v>26340</x:v>
      </x:c>
      <x:c r="D4" t="str">
        <x:v>Book balance</x:v>
      </x:c>
      <x:c r="E4" s="26" t="n">
        <x:f>'Raw Data'!D2</x:f>
        <x:v>24850</x:v>
      </x:c>
    </x:row>
    <x:row r="5">
      <x:c r="A5" t="str">
        <x:v>Deposit in transit</x:v>
      </x:c>
      <x:c r="B5" s="26" t="n">
        <x:f>'Raw Data'!D4</x:f>
        <x:v>2150</x:v>
      </x:c>
      <x:c r="D5" t="str">
        <x:v>Bank service fee</x:v>
      </x:c>
      <x:c r="E5" s="26" t="n">
        <x:f>'Raw Data'!D7</x:f>
        <x:v>-45</x:v>
      </x:c>
    </x:row>
    <x:row r="6">
      <x:c r="A6" t="str">
        <x:v>Outstanding check #1048</x:v>
      </x:c>
      <x:c r="B6" s="26" t="n">
        <x:f>'Raw Data'!D5</x:f>
        <x:v>-1325</x:v>
      </x:c>
      <x:c r="D6" t="str">
        <x:v>Interest earned</x:v>
      </x:c>
      <x:c r="E6" s="26" t="n">
        <x:f>'Raw Data'!D8</x:f>
        <x:v>30</x:v>
      </x:c>
    </x:row>
    <x:row r="7">
      <x:c r="A7" t="str">
        <x:v>Outstanding check #1051</x:v>
      </x:c>
      <x:c r="B7" s="26" t="n">
        <x:f>'Raw Data'!D6</x:f>
        <x:v>-640</x:v>
      </x:c>
      <x:c r="D7" t="str">
        <x:v>Customer NSF check</x:v>
      </x:c>
      <x:c r="E7" s="26" t="n">
        <x:f>'Raw Data'!D9</x:f>
        <x:v>-420</x:v>
      </x:c>
    </x:row>
    <x:row r="8">
      <x:c r="A8" t="str">
        <x:v>Adjusted bank balance</x:v>
      </x:c>
      <x:c r="B8" s="26" t="n">
        <x:f>SUM(B4:B7)</x:f>
        <x:v>26525</x:v>
      </x:c>
      <x:c r="D8" t="str">
        <x:v>ACH customer payment</x:v>
      </x:c>
      <x:c r="E8" s="26" t="n">
        <x:f>'Raw Data'!D10</x:f>
        <x:v>2110</x:v>
      </x:c>
    </x:row>
    <x:row r="9">
      <x:c r="D9" t="str">
        <x:v>Adjusted book balance</x:v>
      </x:c>
      <x:c r="E9" s="26" t="n">
        <x:f>SUM(E4:E8)</x:f>
        <x:v>26525</x:v>
      </x:c>
    </x:row>
    <x:row r="11">
      <x:c r="A11" s="32" t="str">
        <x:v>Journal-entry items: list the book-side reconciling items that should be recorded in the ledger.</x:v>
      </x:c>
      <x:c r="B11" s="32"/>
      <x:c r="C11" s="32"/>
      <x:c r="D11" s="32"/>
      <x:c r="E11" s="32"/>
      <x:c r="F11" s="32"/>
    </x:row>
    <x:row r="13">
      <x:c r="A13" s="22" t="str">
        <x:v>Item</x:v>
      </x:c>
      <x:c r="B13" s="22" t="str">
        <x:v>Journal Entry Needed?</x:v>
      </x:c>
    </x:row>
    <x:row r="14">
      <x:c r="A14" t="str">
        <x:v>Bank service fee</x:v>
      </x:c>
      <x:c r="B14" t="str"/>
    </x:row>
    <x:row r="15">
      <x:c r="A15" t="str">
        <x:v>Interest earned</x:v>
      </x:c>
      <x:c r="B15" t="str"/>
    </x:row>
    <x:row r="16">
      <x:c r="A16" t="str">
        <x:v>Customer NSF check</x:v>
      </x:c>
      <x:c r="B16" t="str"/>
    </x:row>
    <x:row r="17">
      <x:c r="A17" t="str">
        <x:v>ACH customer payment</x:v>
      </x:c>
      <x:c r="B17" t="str"/>
    </x:row>
  </x:sheetData>
  <x:mergeCells>
    <x:mergeCell ref="A1:F1"/>
    <x:mergeCell ref="A11:F11"/>
  </x:mergeCells>
  <x:dataValidations count="1">
    <x:dataValidation type="list" sqref="B14:B17">
      <x:formula1>"Yes,No"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4" hidden="0" customWidth="1"/>
  </x:cols>
  <x:sheetData>
    <x:row r="1" ht="28" customHeight="1">
      <x:c r="A1" s="8" t="str">
        <x:v>Bank Reconciliation — Error Check</x:v>
      </x:c>
      <x:c r="B1" s="8"/>
      <x:c r="C1" s="8"/>
      <x:c r="D1" s="8"/>
    </x:row>
    <x:row r="3">
      <x:c r="A3" s="22" t="str">
        <x:v>Check</x:v>
      </x:c>
      <x:c r="B3" s="22" t="str">
        <x:v>Result</x:v>
      </x:c>
    </x:row>
    <x:row r="4">
      <x:c r="A4" t="str">
        <x:v>Adjusted balances agree</x:v>
      </x:c>
      <x:c r="B4" t="str">
        <x:f>IF(ABS('Your Work'!B8-'Your Work'!E9)&lt;0.01,"PASS","REVIEW")</x:f>
        <x:v>PASS</x:v>
      </x:c>
    </x:row>
    <x:row r="5">
      <x:c r="A5" t="str">
        <x:v>Difference</x:v>
      </x:c>
      <x:c r="B5" s="26" t="n">
        <x:f>'Your Work'!B8-'Your Work'!E9</x:f>
        <x:v>0</x:v>
      </x:c>
    </x:row>
    <x:row r="6">
      <x:c r="A6" t="str">
        <x:v>Bank side includes only timing items</x:v>
      </x:c>
      <x:c r="B6" t="str">
        <x:v>Review the Raw Data Type column</x:v>
      </x:c>
    </x:row>
    <x:row r="7">
      <x:c r="A7" t="str">
        <x:v>Book side includes only book adjustments</x:v>
      </x:c>
      <x:c r="B7" t="str">
        <x:v>Review the Raw Data Type column</x:v>
      </x:c>
    </x:row>
  </x:sheetData>
  <x:mergeCells>
    <x:mergeCell ref="A1:D1"/>
  </x:mergeCells>
  <x:conditionalFormatting sqref="B4:B4">
    <x:cfRule type="expression" dxfId="0" priority="1">
      <x:formula>B4="PASS"</x:formula>
    </x:cfRule>
    <x:cfRule type="expression" dxfId="1" priority="2">
      <x:formula>B4="REVIEW"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6" hidden="0" customWidth="1"/>
  </x:cols>
  <x:sheetData>
    <x:row r="1" ht="28" customHeight="1">
      <x:c r="A1" s="8" t="str">
        <x:v>Bank Reconciliation — Solution</x:v>
      </x:c>
      <x:c r="B1" s="8"/>
      <x:c r="C1" s="8"/>
      <x:c r="D1" s="8"/>
    </x:row>
    <x:row r="3">
      <x:c r="A3" s="22" t="str">
        <x:v>Item</x:v>
      </x:c>
      <x:c r="B3" s="22" t="str">
        <x:v>Correct Amount</x:v>
      </x:c>
    </x:row>
    <x:row r="4">
      <x:c r="A4" t="str">
        <x:v>Bank statement balance</x:v>
      </x:c>
      <x:c r="B4" s="26" t="n">
        <x:v>26340</x:v>
      </x:c>
    </x:row>
    <x:row r="5">
      <x:c r="A5" t="str">
        <x:v>Deposit in transit</x:v>
      </x:c>
      <x:c r="B5" s="26" t="n">
        <x:v>2150</x:v>
      </x:c>
    </x:row>
    <x:row r="6">
      <x:c r="A6" t="str">
        <x:v>Outstanding checks</x:v>
      </x:c>
      <x:c r="B6" s="26" t="n">
        <x:v>-1965</x:v>
      </x:c>
    </x:row>
    <x:row r="7">
      <x:c r="A7" t="str">
        <x:v>Adjusted bank balance</x:v>
      </x:c>
      <x:c r="B7" s="26" t="n">
        <x:v>26525</x:v>
      </x:c>
    </x:row>
    <x:row r="8">
      <x:c r="A8" t="str">
        <x:v>Book balance</x:v>
      </x:c>
      <x:c r="B8" s="26" t="n">
        <x:v>24850</x:v>
      </x:c>
    </x:row>
    <x:row r="9">
      <x:c r="A9" t="str">
        <x:v>Net book adjustments</x:v>
      </x:c>
      <x:c r="B9" s="26" t="n">
        <x:v>1675</x:v>
      </x:c>
    </x:row>
    <x:row r="10">
      <x:c r="A10" t="str">
        <x:v>Adjusted book balance</x:v>
      </x:c>
      <x:c r="B10" s="26" t="n">
        <x:v>26525</x:v>
      </x:c>
    </x:row>
    <x:row r="12">
      <x:c r="A12" s="22" t="str">
        <x:v>Book-side item</x:v>
      </x:c>
      <x:c r="B12" s="22" t="str">
        <x:v>Journal entry normally needed?</x:v>
      </x:c>
    </x:row>
    <x:row r="13">
      <x:c r="A13" t="str">
        <x:v>Bank service fee</x:v>
      </x:c>
      <x:c r="B13" t="str">
        <x:v>Yes</x:v>
      </x:c>
    </x:row>
    <x:row r="14">
      <x:c r="A14" t="str">
        <x:v>Interest earned</x:v>
      </x:c>
      <x:c r="B14" t="str">
        <x:v>Yes</x:v>
      </x:c>
    </x:row>
    <x:row r="15">
      <x:c r="A15" t="str">
        <x:v>Customer NSF check</x:v>
      </x:c>
      <x:c r="B15" t="str">
        <x:v>Yes</x:v>
      </x:c>
    </x:row>
    <x:row r="16">
      <x:c r="A16" t="str">
        <x:v>ACH customer payment</x:v>
      </x:c>
      <x:c r="B16" t="str">
        <x:v>Yes</x:v>
      </x:c>
    </x:row>
  </x:sheetData>
  <x:mergeCells>
    <x:mergeCell ref="A1:D1"/>
  </x:mergeCells>
  <x:pageMargins left="0.7" right="0.7" top="0.75" bottom="0.75" header="0.3" footer="0.3"/>
</x:worksheet>
</file>