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c64b0b127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12f4947440e4a7e"/>
    <x:sheet xmlns:r="http://schemas.openxmlformats.org/officeDocument/2006/relationships" name="Raw Data" sheetId="2" r:id="Rc05f7008405b4b24"/>
    <x:sheet xmlns:r="http://schemas.openxmlformats.org/officeDocument/2006/relationships" name="Your Work" sheetId="3" r:id="R6040b0685966400b"/>
    <x:sheet xmlns:r="http://schemas.openxmlformats.org/officeDocument/2006/relationships" name="Error Check" sheetId="4" r:id="R2f47408d2a8f4cd8"/>
    <x:sheet xmlns:r="http://schemas.openxmlformats.org/officeDocument/2006/relationships" name="Solution" sheetId="5" r:id="R11789b095120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1D4D6C"/>
      </x:patternFill>
    </x:fill>
    <x:fill>
      <x:patternFill patternType="solid">
        <x:fgColor rgb="FFDDECF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de2fb923d495e" /><Relationship Type="http://schemas.openxmlformats.org/officeDocument/2006/relationships/theme" Target="/xl/theme/theme1.xml" Id="Rb0ffa349a0fc4957" /><Relationship Type="http://schemas.openxmlformats.org/officeDocument/2006/relationships/sharedStrings" Target="/xl/sharedStrings.xml" Id="R343a017dfe19423f" /><Relationship Type="http://schemas.openxmlformats.org/officeDocument/2006/relationships/worksheet" Target="/xl/worksheets/sheet1.xml" Id="Ra12f4947440e4a7e" /><Relationship Type="http://schemas.openxmlformats.org/officeDocument/2006/relationships/worksheet" Target="/xl/worksheets/sheet2.xml" Id="Rc05f7008405b4b24" /><Relationship Type="http://schemas.openxmlformats.org/officeDocument/2006/relationships/worksheet" Target="/xl/worksheets/sheet3.xml" Id="R6040b0685966400b" /><Relationship Type="http://schemas.openxmlformats.org/officeDocument/2006/relationships/worksheet" Target="/xl/worksheets/sheet4.xml" Id="R2f47408d2a8f4cd8" /><Relationship Type="http://schemas.openxmlformats.org/officeDocument/2006/relationships/worksheet" Target="/xl/worksheets/sheet5.xml" Id="R11789b09512044d6" /></Relationships>
</file>

<file path=xl/tables/table1.xml><?xml version="1.0" encoding="utf-8"?>
<x:table xmlns:x="http://schemas.openxmlformats.org/spreadsheetml/2006/main" id="1" name="FixedAssetRawData" displayName="FixedAssetRawData" ref="A1:F6" headerRowCount="1" totalsRowCount="0" totalsRowShown="0">
  <x:tableColumns count="6">
    <x:tableColumn id="1" name="Asset ID"/>
    <x:tableColumn id="2" name="Asset Description"/>
    <x:tableColumn id="3" name="In Service Date"/>
    <x:tableColumn id="4" name="Cost"/>
    <x:tableColumn id="5" name="Salvage Value"/>
    <x:tableColumn id="6" name="Useful Life Ye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6bac5feac94cf5" /></Relationships>
</file>

<file path=xl/worksheets/sheet1.xml><?xml version="1.0" encoding="utf-8"?>
<x:worksheet xmlns:x="http://schemas.openxmlformats.org/spreadsheetml/2006/main">
  <x:sheetFormatPr defaultRowHeight="15"/>
  <x:cols>
    <x:col min="2" max="2" width="52" hidden="0" customWidth="1"/>
  </x:cols>
  <x:sheetData>
    <x:row r="1" ht="28" customHeight="1">
      <x:c r="A1" s="8" t="str">
        <x:v>AMS Accounting Excel Practice — Fixed Asset Schedule</x:v>
      </x:c>
      <x:c r="B1" s="8"/>
      <x:c r="C1" s="8"/>
      <x:c r="D1" s="8"/>
      <x:c r="E1" s="8"/>
      <x:c r="F1" s="8"/>
    </x:row>
    <x:row r="3">
      <x:c r="A3" s="10" t="str">
        <x:v>Goal</x:v>
      </x:c>
      <x:c r="B3" s="12" t="str">
        <x:v>Build a straight-line depreciation schedule from the fictional asset register.</x:v>
      </x:c>
      <x:c r="C3" s="12"/>
      <x:c r="D3" s="12"/>
      <x:c r="E3" s="12"/>
      <x:c r="F3" s="12"/>
    </x:row>
    <x:row r="4">
      <x:c r="A4" s="10" t="str">
        <x:v>Convention</x:v>
      </x:c>
      <x:c r="B4" s="12" t="str">
        <x:v>Use full-month depreciation beginning in the asset's in-service month. Use 2026-12-31 as the as-of date.</x:v>
      </x:c>
      <x:c r="C4" s="12"/>
      <x:c r="D4" s="12"/>
      <x:c r="E4" s="12"/>
      <x:c r="F4" s="12"/>
    </x:row>
    <x:row r="5">
      <x:c r="A5" s="10" t="str">
        <x:v>Step 1</x:v>
      </x:c>
      <x:c r="B5" s="12" t="str">
        <x:v>Convert the raw data to an Excel Table or work from the prepared schedule.</x:v>
      </x:c>
      <x:c r="C5" s="12"/>
      <x:c r="D5" s="12"/>
      <x:c r="E5" s="12"/>
      <x:c r="F5" s="12"/>
    </x:row>
    <x:row r="6">
      <x:c r="A6" s="10" t="str">
        <x:v>Step 2</x:v>
      </x:c>
      <x:c r="B6" s="12" t="str">
        <x:v>Calculate Depreciable Base, Annual Depreciation, Monthly Depreciation, Months in Service, Accumulated Depreciation, and Net Book Value.</x:v>
      </x:c>
      <x:c r="C6" s="12"/>
      <x:c r="D6" s="12"/>
      <x:c r="E6" s="12"/>
      <x:c r="F6" s="12"/>
    </x:row>
    <x:row r="7">
      <x:c r="A7" s="10" t="str">
        <x:v>Step 3</x:v>
      </x:c>
      <x:c r="B7" s="12" t="str">
        <x:v>Use formulas and references rather than hardcoding totals.</x:v>
      </x:c>
      <x:c r="C7" s="12"/>
      <x:c r="D7" s="12"/>
      <x:c r="E7" s="12"/>
      <x:c r="F7" s="12"/>
    </x:row>
    <x:row r="8">
      <x:c r="A8" s="10" t="str">
        <x:v>Step 4</x:v>
      </x:c>
      <x:c r="B8" s="12" t="str">
        <x:v>Use the Error Check tab before opening the Solution tab.</x:v>
      </x:c>
      <x:c r="C8" s="12"/>
      <x:c r="D8" s="12"/>
      <x:c r="E8" s="12"/>
      <x:c r="F8" s="12"/>
    </x:row>
    <x:row r="9">
      <x:c r="A9" s="10" t="str">
        <x:v>Note</x:v>
      </x:c>
      <x:c r="B9" s="12" t="str">
        <x:v>All data is fictional and created for tutoring practice.</x:v>
      </x:c>
      <x:c r="C9" s="12"/>
      <x:c r="D9" s="12"/>
      <x:c r="E9" s="12"/>
      <x:c r="F9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24" hidden="0" customWidth="1"/>
    <x:col min="3" max="3" width="14.380000114440918" hidden="0" customWidth="1"/>
    <x:col min="4" max="4" width="8.880000114440918" hidden="0" customWidth="1"/>
    <x:col min="5" max="5" width="13.5" hidden="0" customWidth="1"/>
    <x:col min="6" max="6" width="15.380000114440918" hidden="0" customWidth="1"/>
  </x:cols>
  <x:sheetData>
    <x:row r="1">
      <x:c r="A1" s="22" t="str">
        <x:v>Asset ID</x:v>
      </x:c>
      <x:c r="B1" s="22" t="str">
        <x:v>Asset Description</x:v>
      </x:c>
      <x:c r="C1" s="22" t="str">
        <x:v>In Service Date</x:v>
      </x:c>
      <x:c r="D1" s="22" t="str">
        <x:v>Cost</x:v>
      </x:c>
      <x:c r="E1" s="22" t="str">
        <x:v>Salvage Value</x:v>
      </x:c>
      <x:c r="F1" s="22" t="str">
        <x:v>Useful Life Years</x:v>
      </x:c>
    </x:row>
    <x:row r="2">
      <x:c r="A2" t="str">
        <x:v>FA-1001</x:v>
      </x:c>
      <x:c r="B2" t="str">
        <x:v>Laptop fleet</x:v>
      </x:c>
      <x:c r="C2" s="24" t="n">
        <x:v>46037</x:v>
      </x:c>
      <x:c r="D2" s="26" t="n">
        <x:v>8400</x:v>
      </x:c>
      <x:c r="E2" s="26" t="n">
        <x:v>400</x:v>
      </x:c>
      <x:c r="F2" t="n">
        <x:v>3</x:v>
      </x:c>
    </x:row>
    <x:row r="3">
      <x:c r="A3" t="str">
        <x:v>FA-1002</x:v>
      </x:c>
      <x:c r="B3" t="str">
        <x:v>Warehouse shelving</x:v>
      </x:c>
      <x:c r="C3" s="24" t="n">
        <x:v>46054</x:v>
      </x:c>
      <x:c r="D3" s="26" t="n">
        <x:v>12600</x:v>
      </x:c>
      <x:c r="E3" s="26" t="n">
        <x:v>600</x:v>
      </x:c>
      <x:c r="F3" t="n">
        <x:v>7</x:v>
      </x:c>
    </x:row>
    <x:row r="4">
      <x:c r="A4" t="str">
        <x:v>FA-1003</x:v>
      </x:c>
      <x:c r="B4" t="str">
        <x:v>Packaging equipment</x:v>
      </x:c>
      <x:c r="C4" s="24" t="n">
        <x:v>46101</x:v>
      </x:c>
      <x:c r="D4" s="26" t="n">
        <x:v>28500</x:v>
      </x:c>
      <x:c r="E4" s="26" t="n">
        <x:v>1500</x:v>
      </x:c>
      <x:c r="F4" t="n">
        <x:v>5</x:v>
      </x:c>
    </x:row>
    <x:row r="5">
      <x:c r="A5" t="str">
        <x:v>FA-1004</x:v>
      </x:c>
      <x:c r="B5" t="str">
        <x:v>Office furniture</x:v>
      </x:c>
      <x:c r="C5" s="24" t="n">
        <x:v>46143</x:v>
      </x:c>
      <x:c r="D5" s="26" t="n">
        <x:v>9600</x:v>
      </x:c>
      <x:c r="E5" s="26" t="n">
        <x:v>600</x:v>
      </x:c>
      <x:c r="F5" t="n">
        <x:v>5</x:v>
      </x:c>
    </x:row>
    <x:row r="6">
      <x:c r="A6" t="str">
        <x:v>FA-1005</x:v>
      </x:c>
      <x:c r="B6" t="str">
        <x:v>Delivery van</x:v>
      </x:c>
      <x:c r="C6" s="24" t="n">
        <x:v>46185</x:v>
      </x:c>
      <x:c r="D6" s="26" t="n">
        <x:v>36000</x:v>
      </x:c>
      <x:c r="E6" s="26" t="n">
        <x:v>6000</x:v>
      </x:c>
      <x:c r="F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366bac5feac94c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8" customHeight="1">
      <x:c r="A1" s="8" t="str">
        <x:v>Fixed Asset Schedule — Your Work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3">
      <x:c r="A3" s="22" t="str">
        <x:v>Asset ID</x:v>
      </x:c>
      <x:c r="B3" s="22" t="str">
        <x:v>Description</x:v>
      </x:c>
      <x:c r="C3" s="22" t="str">
        <x:v>In Service</x:v>
      </x:c>
      <x:c r="D3" s="22" t="str">
        <x:v>Cost</x:v>
      </x:c>
      <x:c r="E3" s="22" t="str">
        <x:v>Salvage</x:v>
      </x:c>
      <x:c r="F3" s="22" t="str">
        <x:v>Life (Yrs)</x:v>
      </x:c>
      <x:c r="G3" s="22" t="str">
        <x:v>Depreciable Base</x:v>
      </x:c>
      <x:c r="H3" s="22" t="str">
        <x:v>Annual Dep.</x:v>
      </x:c>
      <x:c r="I3" s="22" t="str">
        <x:v>Monthly Dep.</x:v>
      </x:c>
      <x:c r="J3" s="22" t="str">
        <x:v>Months in Service</x:v>
      </x:c>
      <x:c r="K3" s="22" t="str">
        <x:v>Accum. Dep.</x:v>
      </x:c>
      <x:c r="L3" s="22" t="str">
        <x:v>Net Book Value</x:v>
      </x:c>
    </x:row>
    <x:row r="4">
      <x:c r="A4" t="str">
        <x:f>'Raw Data'!A2</x:f>
        <x:v>FA-1001</x:v>
      </x:c>
      <x:c r="B4" t="str">
        <x:f>'Raw Data'!B2</x:f>
        <x:v>Laptop fleet</x:v>
      </x:c>
      <x:c r="C4" s="24" t="n">
        <x:f>'Raw Data'!C2</x:f>
        <x:v>46037</x:v>
      </x:c>
      <x:c r="D4" s="26" t="n">
        <x:f>'Raw Data'!D2</x:f>
        <x:v>8400</x:v>
      </x:c>
      <x:c r="E4" s="26" t="n">
        <x:f>'Raw Data'!E2</x:f>
        <x:v>400</x:v>
      </x:c>
      <x:c r="F4" t="n">
        <x:f>'Raw Data'!F2</x:f>
        <x:v>3</x:v>
      </x:c>
      <x:c r="G4" s="26" t="n">
        <x:f>D4-E4</x:f>
        <x:v>8000</x:v>
      </x:c>
      <x:c r="H4" s="26" t="n">
        <x:f>G4/F4</x:f>
        <x:v>2666.6666666666665</x:v>
      </x:c>
      <x:c r="I4" s="26" t="n">
        <x:f>H4/12</x:f>
        <x:v>222.2222222222222</x:v>
      </x:c>
      <x:c r="J4" t="n">
        <x:f>MAX(0,12-MONTH(C4)+1)</x:f>
        <x:v>12</x:v>
      </x:c>
      <x:c r="K4" s="26" t="n">
        <x:f>MIN(G4,I4*J4)</x:f>
        <x:v>2666.6666666666665</x:v>
      </x:c>
      <x:c r="L4" s="26" t="n">
        <x:f>D4-K4</x:f>
        <x:v>5733.333333333334</x:v>
      </x:c>
    </x:row>
    <x:row r="5">
      <x:c r="A5" t="str">
        <x:f>'Raw Data'!A3</x:f>
        <x:v>FA-1002</x:v>
      </x:c>
      <x:c r="B5" t="str">
        <x:f>'Raw Data'!B3</x:f>
        <x:v>Warehouse shelving</x:v>
      </x:c>
      <x:c r="C5" s="24" t="n">
        <x:f>'Raw Data'!C3</x:f>
        <x:v>46054</x:v>
      </x:c>
      <x:c r="D5" s="26" t="n">
        <x:f>'Raw Data'!D3</x:f>
        <x:v>12600</x:v>
      </x:c>
      <x:c r="E5" s="26" t="n">
        <x:f>'Raw Data'!E3</x:f>
        <x:v>600</x:v>
      </x:c>
      <x:c r="F5" t="n">
        <x:f>'Raw Data'!F3</x:f>
        <x:v>7</x:v>
      </x:c>
      <x:c r="G5" s="26" t="n">
        <x:f>D5-E5</x:f>
        <x:v>12000</x:v>
      </x:c>
      <x:c r="H5" s="26" t="n">
        <x:f>G5/F5</x:f>
        <x:v>1714.2857142857142</x:v>
      </x:c>
      <x:c r="I5" s="26" t="n">
        <x:f>H5/12</x:f>
        <x:v>142.85714285714286</x:v>
      </x:c>
      <x:c r="J5" t="n">
        <x:f>MAX(0,12-MONTH(C5)+1)</x:f>
        <x:v>11</x:v>
      </x:c>
      <x:c r="K5" s="26" t="n">
        <x:f>MIN(G5,I5*J5)</x:f>
        <x:v>1571.4285714285716</x:v>
      </x:c>
      <x:c r="L5" s="26" t="n">
        <x:f>D5-K5</x:f>
        <x:v>11028.571428571428</x:v>
      </x:c>
    </x:row>
    <x:row r="6">
      <x:c r="A6" t="str">
        <x:f>'Raw Data'!A4</x:f>
        <x:v>FA-1003</x:v>
      </x:c>
      <x:c r="B6" t="str">
        <x:f>'Raw Data'!B4</x:f>
        <x:v>Packaging equipment</x:v>
      </x:c>
      <x:c r="C6" s="24" t="n">
        <x:f>'Raw Data'!C4</x:f>
        <x:v>46101</x:v>
      </x:c>
      <x:c r="D6" s="26" t="n">
        <x:f>'Raw Data'!D4</x:f>
        <x:v>28500</x:v>
      </x:c>
      <x:c r="E6" s="26" t="n">
        <x:f>'Raw Data'!E4</x:f>
        <x:v>1500</x:v>
      </x:c>
      <x:c r="F6" t="n">
        <x:f>'Raw Data'!F4</x:f>
        <x:v>5</x:v>
      </x:c>
      <x:c r="G6" s="26" t="n">
        <x:f>D6-E6</x:f>
        <x:v>27000</x:v>
      </x:c>
      <x:c r="H6" s="26" t="n">
        <x:f>G6/F6</x:f>
        <x:v>5400</x:v>
      </x:c>
      <x:c r="I6" s="26" t="n">
        <x:f>H6/12</x:f>
        <x:v>450</x:v>
      </x:c>
      <x:c r="J6" t="n">
        <x:f>MAX(0,12-MONTH(C6)+1)</x:f>
        <x:v>10</x:v>
      </x:c>
      <x:c r="K6" s="26" t="n">
        <x:f>MIN(G6,I6*J6)</x:f>
        <x:v>4500</x:v>
      </x:c>
      <x:c r="L6" s="26" t="n">
        <x:f>D6-K6</x:f>
        <x:v>24000</x:v>
      </x:c>
    </x:row>
    <x:row r="7">
      <x:c r="A7" t="str">
        <x:f>'Raw Data'!A5</x:f>
        <x:v>FA-1004</x:v>
      </x:c>
      <x:c r="B7" t="str">
        <x:f>'Raw Data'!B5</x:f>
        <x:v>Office furniture</x:v>
      </x:c>
      <x:c r="C7" s="24" t="n">
        <x:f>'Raw Data'!C5</x:f>
        <x:v>46143</x:v>
      </x:c>
      <x:c r="D7" s="26" t="n">
        <x:f>'Raw Data'!D5</x:f>
        <x:v>9600</x:v>
      </x:c>
      <x:c r="E7" s="26" t="n">
        <x:f>'Raw Data'!E5</x:f>
        <x:v>600</x:v>
      </x:c>
      <x:c r="F7" t="n">
        <x:f>'Raw Data'!F5</x:f>
        <x:v>5</x:v>
      </x:c>
      <x:c r="G7" s="26" t="n">
        <x:f>D7-E7</x:f>
        <x:v>9000</x:v>
      </x:c>
      <x:c r="H7" s="26" t="n">
        <x:f>G7/F7</x:f>
        <x:v>1800</x:v>
      </x:c>
      <x:c r="I7" s="26" t="n">
        <x:f>H7/12</x:f>
        <x:v>150</x:v>
      </x:c>
      <x:c r="J7" t="n">
        <x:f>MAX(0,12-MONTH(C7)+1)</x:f>
        <x:v>8</x:v>
      </x:c>
      <x:c r="K7" s="26" t="n">
        <x:f>MIN(G7,I7*J7)</x:f>
        <x:v>1200</x:v>
      </x:c>
      <x:c r="L7" s="26" t="n">
        <x:f>D7-K7</x:f>
        <x:v>8400</x:v>
      </x:c>
    </x:row>
    <x:row r="8">
      <x:c r="A8" t="str">
        <x:f>'Raw Data'!A6</x:f>
        <x:v>FA-1005</x:v>
      </x:c>
      <x:c r="B8" t="str">
        <x:f>'Raw Data'!B6</x:f>
        <x:v>Delivery van</x:v>
      </x:c>
      <x:c r="C8" s="24" t="n">
        <x:f>'Raw Data'!C6</x:f>
        <x:v>46185</x:v>
      </x:c>
      <x:c r="D8" s="26" t="n">
        <x:f>'Raw Data'!D6</x:f>
        <x:v>36000</x:v>
      </x:c>
      <x:c r="E8" s="26" t="n">
        <x:f>'Raw Data'!E6</x:f>
        <x:v>6000</x:v>
      </x:c>
      <x:c r="F8" t="n">
        <x:f>'Raw Data'!F6</x:f>
        <x:v>6</x:v>
      </x:c>
      <x:c r="G8" s="26" t="n">
        <x:f>D8-E8</x:f>
        <x:v>30000</x:v>
      </x:c>
      <x:c r="H8" s="26" t="n">
        <x:f>G8/F8</x:f>
        <x:v>5000</x:v>
      </x:c>
      <x:c r="I8" s="26" t="n">
        <x:f>H8/12</x:f>
        <x:v>416.6666666666667</x:v>
      </x:c>
      <x:c r="J8" t="n">
        <x:f>MAX(0,12-MONTH(C8)+1)</x:f>
        <x:v>7</x:v>
      </x:c>
      <x:c r="K8" s="26" t="n">
        <x:f>MIN(G8,I8*J8)</x:f>
        <x:v>2916.666666666667</x:v>
      </x:c>
      <x:c r="L8" s="26" t="n">
        <x:f>D8-K8</x:f>
        <x:v>33083.333333333336</x:v>
      </x:c>
    </x:row>
    <x:row r="10">
      <x:c r="A10" s="32" t="str">
        <x:v>Control Totals</x:v>
      </x:c>
      <x:c r="B10" s="32"/>
      <x:c r="C10" s="32"/>
      <x:c r="D10" s="32"/>
      <x:c r="E10" s="32"/>
      <x:c r="F10" s="32"/>
      <x:c r="G10" s="26" t="n">
        <x:f>SUM(G4:G8)</x:f>
        <x:v>86000</x:v>
      </x:c>
      <x:c r="H10" s="26" t="n">
        <x:f>SUM(H4:H8)</x:f>
        <x:v>16580.95238095238</x:v>
      </x:c>
      <x:c r="I10" s="26" t="n">
        <x:f>SUM(I4:I8)</x:f>
        <x:v>1381.7460317460318</x:v>
      </x:c>
      <x:c r="J10" t="n">
        <x:f>SUM(J4:J8)</x:f>
        <x:v>48</x:v>
      </x:c>
      <x:c r="K10" s="26" t="n">
        <x:f>SUM(K4:K8)</x:f>
        <x:v>12854.761904761905</x:v>
      </x:c>
      <x:c r="L10" s="26" t="n">
        <x:f>SUM(L4:L8)</x:f>
        <x:v>82245.2380952381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</x:cols>
  <x:sheetData>
    <x:row r="1" ht="28" customHeight="1">
      <x:c r="A1" s="8" t="str">
        <x:v>Fixed Asset Schedule — Error Check</x:v>
      </x:c>
      <x:c r="B1" s="8"/>
      <x:c r="C1" s="8"/>
      <x:c r="D1" s="8"/>
    </x:row>
    <x:row r="3">
      <x:c r="A3" s="22" t="str">
        <x:v>Check</x:v>
      </x:c>
      <x:c r="B3" s="22" t="str">
        <x:v>Result</x:v>
      </x:c>
    </x:row>
    <x:row r="4">
      <x:c r="A4" t="str">
        <x:v>Annual depreciation total</x:v>
      </x:c>
      <x:c r="B4" s="26" t="n">
        <x:f>'Your Work'!H10</x:f>
        <x:v>16580.95238095238</x:v>
      </x:c>
    </x:row>
    <x:row r="5">
      <x:c r="A5" t="str">
        <x:v>Expected annual depreciation</x:v>
      </x:c>
      <x:c r="B5" s="26" t="n">
        <x:v>16580.95238095</x:v>
      </x:c>
    </x:row>
    <x:row r="6">
      <x:c r="A6" t="str">
        <x:v>Difference</x:v>
      </x:c>
      <x:c r="B6" s="26" t="n">
        <x:f>B4-B5</x:f>
        <x:v>2.382876118645072e-9</x:v>
      </x:c>
    </x:row>
    <x:row r="7">
      <x:c r="A7" t="str">
        <x:v>NBV not below salvage value</x:v>
      </x:c>
      <x:c r="B7" t="str">
        <x:f>IF(MIN('Your Work'!L4:L8-'Your Work'!E4:E8)&gt;=-0.01,"PASS","REVIEW")</x:f>
        <x:v>PASS</x:v>
      </x:c>
    </x:row>
    <x:row r="8">
      <x:c r="A8" t="str">
        <x:v>Accumulated depreciation not above depreciable base</x:v>
      </x:c>
      <x:c r="B8" t="str">
        <x:f>IF(MAX('Your Work'!K4:K8-'Your Work'!G4:G8)&lt;=0.01,"PASS","REVIEW")</x:f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8" t="str">
        <x:v>Fixed Asset Schedule — Solution</x:v>
      </x:c>
      <x:c r="B1" s="8"/>
      <x:c r="C1" s="8"/>
      <x:c r="D1" s="8"/>
      <x:c r="E1" s="8"/>
      <x:c r="F1" s="8"/>
      <x:c r="G1" s="8"/>
      <x:c r="H1" s="8"/>
    </x:row>
    <x:row r="3">
      <x:c r="A3" s="22" t="str">
        <x:v>Asset ID</x:v>
      </x:c>
      <x:c r="B3" s="22" t="str">
        <x:v>Depreciable Base</x:v>
      </x:c>
      <x:c r="C3" s="22" t="str">
        <x:v>Annual Dep.</x:v>
      </x:c>
      <x:c r="D3" s="22" t="str">
        <x:v>Monthly Dep.</x:v>
      </x:c>
      <x:c r="E3" s="22" t="str">
        <x:v>Months in Service</x:v>
      </x:c>
      <x:c r="F3" s="22" t="str">
        <x:v>Accum. Dep. 2026</x:v>
      </x:c>
      <x:c r="G3" s="22" t="str">
        <x:v>NBV 12/31/2026</x:v>
      </x:c>
      <x:c r="H3" s="22" t="str">
        <x:v>Salvage</x:v>
      </x:c>
    </x:row>
    <x:row r="4">
      <x:c r="A4" t="str">
        <x:v>FA-1001</x:v>
      </x:c>
      <x:c r="B4" s="26" t="n">
        <x:v>8000</x:v>
      </x:c>
      <x:c r="C4" s="26" t="n">
        <x:v>2666.6666666666665</x:v>
      </x:c>
      <x:c r="D4" s="26" t="n">
        <x:v>222.2222222222222</x:v>
      </x:c>
      <x:c r="E4" t="n">
        <x:v>12</x:v>
      </x:c>
      <x:c r="F4" s="26" t="n">
        <x:v>2666.6666666666665</x:v>
      </x:c>
      <x:c r="G4" s="26" t="n">
        <x:v>5733.333333333334</x:v>
      </x:c>
      <x:c r="H4" s="26" t="n">
        <x:v>400</x:v>
      </x:c>
    </x:row>
    <x:row r="5">
      <x:c r="A5" t="str">
        <x:v>FA-1002</x:v>
      </x:c>
      <x:c r="B5" s="26" t="n">
        <x:v>12000</x:v>
      </x:c>
      <x:c r="C5" s="26" t="n">
        <x:v>1714.2857142857142</x:v>
      </x:c>
      <x:c r="D5" s="26" t="n">
        <x:v>142.85714285714286</x:v>
      </x:c>
      <x:c r="E5" t="n">
        <x:v>11</x:v>
      </x:c>
      <x:c r="F5" s="26" t="n">
        <x:v>1571.4285714285716</x:v>
      </x:c>
      <x:c r="G5" s="26" t="n">
        <x:v>11028.571428571428</x:v>
      </x:c>
      <x:c r="H5" s="26" t="n">
        <x:v>600</x:v>
      </x:c>
    </x:row>
    <x:row r="6">
      <x:c r="A6" t="str">
        <x:v>FA-1003</x:v>
      </x:c>
      <x:c r="B6" s="26" t="n">
        <x:v>27000</x:v>
      </x:c>
      <x:c r="C6" s="26" t="n">
        <x:v>5400</x:v>
      </x:c>
      <x:c r="D6" s="26" t="n">
        <x:v>450</x:v>
      </x:c>
      <x:c r="E6" t="n">
        <x:v>10</x:v>
      </x:c>
      <x:c r="F6" s="26" t="n">
        <x:v>4500</x:v>
      </x:c>
      <x:c r="G6" s="26" t="n">
        <x:v>24000</x:v>
      </x:c>
      <x:c r="H6" s="26" t="n">
        <x:v>1500</x:v>
      </x:c>
    </x:row>
    <x:row r="7">
      <x:c r="A7" t="str">
        <x:v>FA-1004</x:v>
      </x:c>
      <x:c r="B7" s="26" t="n">
        <x:v>9000</x:v>
      </x:c>
      <x:c r="C7" s="26" t="n">
        <x:v>1800</x:v>
      </x:c>
      <x:c r="D7" s="26" t="n">
        <x:v>150</x:v>
      </x:c>
      <x:c r="E7" t="n">
        <x:v>8</x:v>
      </x:c>
      <x:c r="F7" s="26" t="n">
        <x:v>1200</x:v>
      </x:c>
      <x:c r="G7" s="26" t="n">
        <x:v>8400</x:v>
      </x:c>
      <x:c r="H7" s="26" t="n">
        <x:v>600</x:v>
      </x:c>
    </x:row>
    <x:row r="8">
      <x:c r="A8" t="str">
        <x:v>FA-1005</x:v>
      </x:c>
      <x:c r="B8" s="26" t="n">
        <x:v>30000</x:v>
      </x:c>
      <x:c r="C8" s="26" t="n">
        <x:v>5000</x:v>
      </x:c>
      <x:c r="D8" s="26" t="n">
        <x:v>416.6666666666667</x:v>
      </x:c>
      <x:c r="E8" t="n">
        <x:v>7</x:v>
      </x:c>
      <x:c r="F8" s="26" t="n">
        <x:v>2916.666666666667</x:v>
      </x:c>
      <x:c r="G8" s="26" t="n">
        <x:v>33083.333333333336</x:v>
      </x:c>
      <x:c r="H8" s="26" t="n">
        <x:v>6000</x:v>
      </x:c>
    </x:row>
    <x:row r="10">
      <x:c r="A10" s="22" t="str">
        <x:v>Control</x:v>
      </x:c>
      <x:c r="B10" s="22" t="str">
        <x:v>Amount</x:v>
      </x:c>
    </x:row>
    <x:row r="11">
      <x:c r="A11" t="str">
        <x:v>Total annual depreciation</x:v>
      </x:c>
      <x:c r="B11" s="26" t="n">
        <x:v>16580.95238095</x:v>
      </x:c>
    </x:row>
  </x:sheetData>
  <x:mergeCells>
    <x:mergeCell ref="A1:H1"/>
  </x:mergeCells>
  <x:pageMargins left="0.7" right="0.7" top="0.75" bottom="0.75" header="0.3" footer="0.3"/>
</x:worksheet>
</file>